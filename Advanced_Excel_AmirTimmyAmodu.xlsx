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pdesk\Downloads\AMIR TIMMY AMODU\M4ace Cohort\DATA ANALYSIS\EXCEL\3. ADVANCED EXCEL FUNCTIONS\"/>
    </mc:Choice>
  </mc:AlternateContent>
  <xr:revisionPtr revIDLastSave="0" documentId="13_ncr:1_{A0A8729B-30D0-46AE-B62B-C225072DF9A4}" xr6:coauthVersionLast="47" xr6:coauthVersionMax="47" xr10:uidLastSave="{00000000-0000-0000-0000-000000000000}"/>
  <bookViews>
    <workbookView xWindow="-110" yWindow="-110" windowWidth="19420" windowHeight="10420" tabRatio="808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Rate'!$A$1:$A$2</definedName>
    <definedName name="TaxRate.">'Tax Rate'!$A$2</definedName>
    <definedName name="TaxRate...">'Tax Rate'!$A$2</definedName>
    <definedName name="TaxRate2">'Tax Rate'!$A$2</definedName>
    <definedName name="Taxratee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1" l="1"/>
  <c r="A5" i="10"/>
  <c r="A2" i="10"/>
  <c r="E8" i="9" a="1"/>
  <c r="E8" i="9" s="1"/>
  <c r="E7" i="9"/>
  <c r="E3" i="9"/>
  <c r="C24" i="8" a="1"/>
  <c r="C24" i="8" s="1"/>
  <c r="C23" i="8"/>
  <c r="C19" i="8"/>
  <c r="C15" i="8"/>
  <c r="C11" i="8"/>
  <c r="C7" i="8"/>
  <c r="C6" i="8"/>
  <c r="C5" i="8"/>
  <c r="C4" i="8"/>
  <c r="C3" i="8"/>
  <c r="C2" i="8"/>
  <c r="A34" i="7"/>
  <c r="A31" i="7"/>
  <c r="A27" i="7"/>
  <c r="A23" i="7"/>
  <c r="A19" i="7"/>
  <c r="A15" i="7"/>
  <c r="B11" i="7"/>
  <c r="A11" i="7"/>
  <c r="A7" i="7"/>
  <c r="A3" i="7"/>
  <c r="G8" i="6" a="1"/>
  <c r="G8" i="6" s="1"/>
  <c r="G5" i="6"/>
  <c r="G7" i="6"/>
  <c r="G4" i="6"/>
  <c r="G3" i="6"/>
  <c r="G2" i="6"/>
  <c r="E12" i="5"/>
  <c r="E11" i="5"/>
  <c r="E10" i="5"/>
  <c r="E8" i="5"/>
  <c r="E7" i="5"/>
  <c r="E6" i="5"/>
  <c r="E5" i="5"/>
  <c r="E4" i="5"/>
  <c r="E3" i="5"/>
  <c r="E2" i="5"/>
  <c r="B5" i="4"/>
  <c r="B9" i="12"/>
  <c r="C5" i="12"/>
  <c r="D5" i="12"/>
  <c r="E5" i="12"/>
  <c r="B5" i="12"/>
  <c r="E4" i="12"/>
  <c r="C4" i="12"/>
  <c r="D4" i="12"/>
  <c r="B4" i="12"/>
  <c r="E3" i="12"/>
  <c r="E2" i="12"/>
  <c r="A3" i="11"/>
  <c r="B4" i="11"/>
  <c r="A2" i="11"/>
  <c r="A1" i="11"/>
  <c r="B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<sst xmlns="http://schemas.openxmlformats.org/spreadsheetml/2006/main" count="157" uniqueCount="80">
  <si>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</si>
  <si>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</si>
  <si>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</si>
  <si>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</si>
  <si>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</si>
  <si>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</si>
  <si>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</si>
  <si>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</si>
  <si>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</si>
  <si>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</si>
  <si>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</si>
  <si>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</si>
  <si>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</si>
  <si>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</si>
  <si>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</si>
  <si>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</si>
  <si>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</si>
  <si>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</si>
  <si>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</si>
  <si>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</si>
  <si>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</si>
  <si>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</si>
  <si>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</si>
  <si>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</si>
  <si>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</si>
  <si>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</si>
  <si>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</si>
  <si>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</si>
  <si>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</si>
  <si>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</si>
  <si>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</si>
  <si>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</si>
  <si>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</si>
  <si>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</si>
  <si>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</si>
  <si>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</si>
  <si>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</si>
  <si>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</si>
  <si>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</si>
  <si>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</si>
  <si>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</si>
  <si>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</si>
  <si>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</si>
  <si>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</si>
  <si>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</si>
  <si>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</si>
  <si>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</si>
  <si>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</si>
  <si>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</si>
  <si>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</si>
  <si>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</si>
  <si>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</si>
  <si>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</si>
  <si>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</si>
  <si>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</si>
  <si>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</si>
  <si>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</si>
  <si>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</si>
  <si>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</si>
  <si>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</si>
  <si>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</si>
  <si>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</si>
  <si>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</si>
  <si>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</si>
  <si>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</si>
  <si>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</si>
  <si>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</si>
  <si>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</si>
  <si>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</si>
  <si>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</si>
  <si>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</si>
  <si>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</si>
  <si>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</si>
  <si>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Types of cookies</t>
  </si>
  <si>
    <t>how many cookies were sold in India?</t>
  </si>
  <si>
    <t>how many cookies were sold in Philippines?</t>
  </si>
  <si>
    <t>how many cookies were sold in United States?</t>
  </si>
  <si>
    <t>Number of chocolate chips sold in the united states</t>
  </si>
  <si>
    <t>Number of chocolate chips or oatmeal raisin sold in the united states</t>
  </si>
  <si>
    <t>how many cookies were sold in countries that ends with the letter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</si>
</sst>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0" borderId="0" xfId="0" applyNumberForma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tabSelected="1" zoomScale="120" zoomScaleNormal="120" workbookViewId="0">
      <selection activeCell="C9" sqref="C9"/>
    </sheetView>
  </sheetViews>
  <sheetFormatPr defaultRowHeight="14.5" x14ac:dyDescent="0.35"/>
  <cols>
    <col min="1" max="1" width="11.1796875" customWidth="1"/>
    <col min="2" max="2" width="17" customWidth="1"/>
    <col min="3" max="3" width="16.81640625" customWidth="1"/>
    <col min="4" max="4" width="12.453125" bestFit="1" customWidth="1"/>
    <col min="6" max="6" width="2.26953125" customWidth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35">
      <c r="A2" s="2" t="s">
        <v>5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35">
      <c r="A3" s="2" t="s">
        <v>6</v>
      </c>
      <c r="B3">
        <v>4</v>
      </c>
      <c r="C3">
        <v>3</v>
      </c>
      <c r="D3">
        <v>2</v>
      </c>
      <c r="E3">
        <f>SUM(B3:D3)</f>
        <v>9</v>
      </c>
    </row>
    <row r="4" spans="1:7" x14ac:dyDescent="0.35">
      <c r="A4" s="2" t="s">
        <v>7</v>
      </c>
      <c r="B4">
        <f>B2-B3</f>
        <v>6</v>
      </c>
      <c r="C4">
        <f t="shared" ref="C4:D4" si="0">C2-C3</f>
        <v>5</v>
      </c>
      <c r="D4">
        <f t="shared" si="0"/>
        <v>3</v>
      </c>
      <c r="E4">
        <f>SUM(B4:D4)</f>
        <v>14</v>
      </c>
    </row>
    <row r="5" spans="1:7" x14ac:dyDescent="0.35">
      <c r="A5" s="2" t="s">
        <v>8</v>
      </c>
      <c r="B5" s="8">
        <f>B4*TaxRate.</f>
        <v>0.60000000000000009</v>
      </c>
      <c r="C5" s="8">
        <f>C4*TaxRate.</f>
        <v>0.5</v>
      </c>
      <c r="D5" s="8">
        <f>D4*TaxRate.</f>
        <v>0.30000000000000004</v>
      </c>
      <c r="E5" s="8">
        <f>E4*TaxRate.</f>
        <v>1.4000000000000001</v>
      </c>
    </row>
    <row r="6" spans="1:7" x14ac:dyDescent="0.35">
      <c r="A6" s="2"/>
      <c r="C6" s="1"/>
    </row>
    <row r="7" spans="1:7" x14ac:dyDescent="0.35">
      <c r="C7" s="1"/>
    </row>
    <row r="8" spans="1:7" x14ac:dyDescent="0.35">
      <c r="C8" s="1"/>
    </row>
    <row r="9" spans="1:7" x14ac:dyDescent="0.35">
      <c r="A9" s="2" t="s">
        <v>9</v>
      </c>
      <c r="B9">
        <f>E4/2</f>
        <v>7</v>
      </c>
      <c r="C9" s="1"/>
      <c r="D9" s="6"/>
    </row>
    <row r="10" spans="1:7" x14ac:dyDescent="0.35">
      <c r="C10" s="1"/>
      <c r="D10" s="6"/>
    </row>
    <row r="11" spans="1:7" x14ac:dyDescent="0.35">
      <c r="C11" s="1"/>
    </row>
    <row r="12" spans="1:7" x14ac:dyDescent="0.3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96" zoomScaleNormal="96" workbookViewId="0">
      <selection activeCell="A2" sqref="A2"/>
    </sheetView>
  </sheetViews>
  <sheetFormatPr defaultRowHeight="14.5" x14ac:dyDescent="0.35"/>
  <sheetData>
    <row r="1" spans="1:1" x14ac:dyDescent="0.35">
      <c r="A1" s="2" t="s">
        <v>4</v>
      </c>
    </row>
    <row r="2" spans="1:1" x14ac:dyDescent="0.3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93" zoomScaleNormal="93" workbookViewId="0">
      <selection activeCell="B6" sqref="B6"/>
    </sheetView>
  </sheetViews>
  <sheetFormatPr defaultRowHeight="14.5" x14ac:dyDescent="0.35"/>
  <cols>
    <col min="2" max="2" width="14.453125" bestFit="1" customWidth="1"/>
  </cols>
  <sheetData>
    <row r="1" spans="1:4" x14ac:dyDescent="0.35">
      <c r="B1" s="2" t="s">
        <v>0</v>
      </c>
      <c r="D1" s="2" t="s">
        <v>4</v>
      </c>
    </row>
    <row r="2" spans="1:4" x14ac:dyDescent="0.35">
      <c r="A2" s="2" t="s">
        <v>5</v>
      </c>
      <c r="B2">
        <v>10</v>
      </c>
      <c r="D2" s="3">
        <v>0.1</v>
      </c>
    </row>
    <row r="3" spans="1:4" x14ac:dyDescent="0.35">
      <c r="A3" s="2" t="s">
        <v>6</v>
      </c>
      <c r="B3">
        <v>4</v>
      </c>
    </row>
    <row r="4" spans="1:4" x14ac:dyDescent="0.35">
      <c r="A4" s="2" t="s">
        <v>7</v>
      </c>
      <c r="B4">
        <f>B2-B3</f>
        <v>6</v>
      </c>
    </row>
    <row r="5" spans="1:4" x14ac:dyDescent="0.35">
      <c r="A5" s="2" t="s">
        <v>8</v>
      </c>
      <c r="B5">
        <f>(B2-B3)*D2</f>
        <v>0.60000000000000009</v>
      </c>
    </row>
    <row r="7" spans="1:4" x14ac:dyDescent="0.35">
      <c r="A7" s="4" t="s">
        <v>10</v>
      </c>
    </row>
    <row r="8" spans="1:4" x14ac:dyDescent="0.35">
      <c r="A8" s="4" t="s">
        <v>11</v>
      </c>
    </row>
    <row r="9" spans="1:4" x14ac:dyDescent="0.3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topLeftCell="A3" zoomScale="175" zoomScaleNormal="175" workbookViewId="0">
      <selection activeCell="E13" sqref="E13"/>
    </sheetView>
  </sheetViews>
  <sheetFormatPr defaultRowHeight="14.5" x14ac:dyDescent="0.35"/>
  <cols>
    <col min="1" max="1" width="13.7265625" customWidth="1"/>
    <col min="2" max="2" width="12.26953125" bestFit="1" customWidth="1"/>
    <col min="3" max="3" width="3.1796875" customWidth="1"/>
    <col min="4" max="4" width="28.26953125" bestFit="1" customWidth="1"/>
    <col min="5" max="5" width="12" bestFit="1" customWidth="1"/>
  </cols>
  <sheetData>
    <row r="1" spans="1:5" x14ac:dyDescent="0.35">
      <c r="A1" s="2" t="s">
        <v>13</v>
      </c>
      <c r="B1" s="2" t="s">
        <v>14</v>
      </c>
    </row>
    <row r="2" spans="1:5" x14ac:dyDescent="0.3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3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35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35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35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3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35">
      <c r="A8" t="s">
        <v>24</v>
      </c>
      <c r="B8">
        <v>36</v>
      </c>
      <c r="D8" t="s">
        <v>73</v>
      </c>
      <c r="E8">
        <f>COUNTA(A2:A8)</f>
        <v>7</v>
      </c>
    </row>
    <row r="10" spans="1:5" x14ac:dyDescent="0.35">
      <c r="D10" t="s">
        <v>25</v>
      </c>
      <c r="E10">
        <f>AVERAGE(B2:B8)</f>
        <v>60.142857142857146</v>
      </c>
    </row>
    <row r="11" spans="1:5" x14ac:dyDescent="0.35">
      <c r="D11" t="s">
        <v>26</v>
      </c>
      <c r="E11">
        <f>MEDIAN(B2:B8)</f>
        <v>52</v>
      </c>
    </row>
    <row r="12" spans="1:5" x14ac:dyDescent="0.3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G22"/>
  <sheetViews>
    <sheetView topLeftCell="D13" zoomScale="130" zoomScaleNormal="130" workbookViewId="0">
      <selection activeCell="F12" sqref="F12"/>
    </sheetView>
  </sheetViews>
  <sheetFormatPr defaultRowHeight="14.5" x14ac:dyDescent="0.35"/>
  <cols>
    <col min="1" max="1" width="15.7265625" bestFit="1" customWidth="1"/>
    <col min="2" max="2" width="15.7265625" customWidth="1"/>
    <col min="3" max="3" width="12.26953125" bestFit="1" customWidth="1"/>
    <col min="5" max="5" width="12.453125" bestFit="1" customWidth="1"/>
    <col min="6" max="6" width="58.90625" bestFit="1" customWidth="1"/>
  </cols>
  <sheetData>
    <row r="1" spans="1:7" x14ac:dyDescent="0.35">
      <c r="A1" s="2" t="s">
        <v>13</v>
      </c>
      <c r="B1" s="2" t="s">
        <v>28</v>
      </c>
      <c r="C1" s="2" t="s">
        <v>14</v>
      </c>
    </row>
    <row r="2" spans="1:7" x14ac:dyDescent="0.35">
      <c r="A2" t="s">
        <v>0</v>
      </c>
      <c r="B2" t="s">
        <v>29</v>
      </c>
      <c r="C2">
        <v>28</v>
      </c>
      <c r="E2" t="s">
        <v>30</v>
      </c>
      <c r="F2" t="s">
        <v>76</v>
      </c>
      <c r="G2">
        <f>SUMIF(B:B,B2,C:C)</f>
        <v>362</v>
      </c>
    </row>
    <row r="3" spans="1:7" x14ac:dyDescent="0.35">
      <c r="A3" t="s">
        <v>1</v>
      </c>
      <c r="B3" t="s">
        <v>29</v>
      </c>
      <c r="C3">
        <v>32</v>
      </c>
      <c r="F3" t="s">
        <v>74</v>
      </c>
      <c r="G3">
        <f>SUMIF(B:B,B9, C:C)</f>
        <v>301</v>
      </c>
    </row>
    <row r="4" spans="1:7" x14ac:dyDescent="0.35">
      <c r="A4" t="s">
        <v>2</v>
      </c>
      <c r="B4" t="s">
        <v>29</v>
      </c>
      <c r="C4">
        <v>52</v>
      </c>
      <c r="F4" t="s">
        <v>75</v>
      </c>
      <c r="G4">
        <f>SUMIF(B:B,B16, C:C)</f>
        <v>440</v>
      </c>
    </row>
    <row r="5" spans="1:7" x14ac:dyDescent="0.35">
      <c r="A5" t="s">
        <v>18</v>
      </c>
      <c r="B5" t="s">
        <v>29</v>
      </c>
      <c r="C5">
        <v>67</v>
      </c>
      <c r="F5" t="s">
        <v>79</v>
      </c>
      <c r="G5">
        <f>SUMIF(B:B,"*s", C:C)</f>
        <v>802</v>
      </c>
    </row>
    <row r="6" spans="1:7" x14ac:dyDescent="0.35">
      <c r="A6" t="s">
        <v>20</v>
      </c>
      <c r="B6" t="s">
        <v>29</v>
      </c>
      <c r="C6">
        <v>44</v>
      </c>
    </row>
    <row r="7" spans="1:7" x14ac:dyDescent="0.35">
      <c r="A7" t="s">
        <v>22</v>
      </c>
      <c r="B7" t="s">
        <v>29</v>
      </c>
      <c r="C7">
        <v>39</v>
      </c>
      <c r="E7" t="s">
        <v>31</v>
      </c>
      <c r="F7" t="s">
        <v>77</v>
      </c>
      <c r="G7">
        <f>SUMIFS(C:C,B:B,B3,A:A,A2)</f>
        <v>28</v>
      </c>
    </row>
    <row r="8" spans="1:7" x14ac:dyDescent="0.35">
      <c r="A8" t="s">
        <v>24</v>
      </c>
      <c r="B8" t="s">
        <v>29</v>
      </c>
      <c r="C8">
        <v>100</v>
      </c>
      <c r="F8" t="s">
        <v>78</v>
      </c>
      <c r="G8" cm="1">
        <f t="array" ref="G8">SUM(SUMIFS(C:C,B:B,B3,A:A,A2:A3))</f>
        <v>60</v>
      </c>
    </row>
    <row r="9" spans="1:7" x14ac:dyDescent="0.35">
      <c r="A9" t="s">
        <v>0</v>
      </c>
      <c r="B9" t="s">
        <v>34</v>
      </c>
      <c r="C9">
        <v>75</v>
      </c>
    </row>
    <row r="10" spans="1:7" x14ac:dyDescent="0.35">
      <c r="A10" t="s">
        <v>1</v>
      </c>
      <c r="B10" t="s">
        <v>34</v>
      </c>
      <c r="C10">
        <v>32</v>
      </c>
    </row>
    <row r="11" spans="1:7" x14ac:dyDescent="0.35">
      <c r="A11" t="s">
        <v>2</v>
      </c>
      <c r="B11" t="s">
        <v>34</v>
      </c>
      <c r="C11">
        <v>40</v>
      </c>
    </row>
    <row r="12" spans="1:7" x14ac:dyDescent="0.35">
      <c r="A12" t="s">
        <v>18</v>
      </c>
      <c r="B12" t="s">
        <v>34</v>
      </c>
      <c r="C12">
        <v>21</v>
      </c>
    </row>
    <row r="13" spans="1:7" x14ac:dyDescent="0.35">
      <c r="A13" t="s">
        <v>20</v>
      </c>
      <c r="B13" t="s">
        <v>34</v>
      </c>
      <c r="C13">
        <v>58</v>
      </c>
      <c r="E13" t="s">
        <v>32</v>
      </c>
    </row>
    <row r="14" spans="1:7" x14ac:dyDescent="0.35">
      <c r="A14" t="s">
        <v>22</v>
      </c>
      <c r="B14" t="s">
        <v>34</v>
      </c>
      <c r="C14">
        <v>21</v>
      </c>
      <c r="E14" t="s">
        <v>33</v>
      </c>
    </row>
    <row r="15" spans="1:7" x14ac:dyDescent="0.35">
      <c r="A15" t="s">
        <v>24</v>
      </c>
      <c r="B15" t="s">
        <v>34</v>
      </c>
      <c r="C15">
        <v>54</v>
      </c>
      <c r="E15" t="s">
        <v>35</v>
      </c>
    </row>
    <row r="16" spans="1:7" x14ac:dyDescent="0.35">
      <c r="A16" t="s">
        <v>0</v>
      </c>
      <c r="B16" t="s">
        <v>39</v>
      </c>
      <c r="C16">
        <v>55</v>
      </c>
      <c r="E16" t="s">
        <v>36</v>
      </c>
    </row>
    <row r="17" spans="1:5" x14ac:dyDescent="0.35">
      <c r="A17" t="s">
        <v>1</v>
      </c>
      <c r="B17" t="s">
        <v>39</v>
      </c>
      <c r="C17">
        <v>41</v>
      </c>
      <c r="E17" t="s">
        <v>37</v>
      </c>
    </row>
    <row r="18" spans="1:5" x14ac:dyDescent="0.35">
      <c r="A18" t="s">
        <v>2</v>
      </c>
      <c r="B18" t="s">
        <v>39</v>
      </c>
      <c r="C18">
        <v>92</v>
      </c>
      <c r="E18" t="s">
        <v>38</v>
      </c>
    </row>
    <row r="19" spans="1:5" x14ac:dyDescent="0.35">
      <c r="A19" t="s">
        <v>18</v>
      </c>
      <c r="B19" t="s">
        <v>39</v>
      </c>
      <c r="C19">
        <v>89</v>
      </c>
    </row>
    <row r="20" spans="1:5" x14ac:dyDescent="0.35">
      <c r="A20" t="s">
        <v>20</v>
      </c>
      <c r="B20" t="s">
        <v>39</v>
      </c>
      <c r="C20">
        <v>34</v>
      </c>
    </row>
    <row r="21" spans="1:5" x14ac:dyDescent="0.35">
      <c r="A21" t="s">
        <v>22</v>
      </c>
      <c r="B21" t="s">
        <v>39</v>
      </c>
      <c r="C21">
        <v>29</v>
      </c>
    </row>
    <row r="22" spans="1:5" x14ac:dyDescent="0.3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4"/>
  <sheetViews>
    <sheetView topLeftCell="A26" zoomScale="190" zoomScaleNormal="190" workbookViewId="0">
      <selection activeCell="A35" sqref="A35"/>
    </sheetView>
  </sheetViews>
  <sheetFormatPr defaultRowHeight="14.5" x14ac:dyDescent="0.35"/>
  <cols>
    <col min="1" max="1" width="23.1796875" customWidth="1"/>
  </cols>
  <sheetData>
    <row r="1" spans="1:3" x14ac:dyDescent="0.35">
      <c r="A1" s="2" t="s">
        <v>40</v>
      </c>
    </row>
    <row r="2" spans="1:3" x14ac:dyDescent="0.35">
      <c r="A2" t="s">
        <v>41</v>
      </c>
    </row>
    <row r="3" spans="1:3" x14ac:dyDescent="0.35">
      <c r="A3" t="str">
        <f>PROPER(A2)</f>
        <v>Kevin Cookie Company</v>
      </c>
    </row>
    <row r="5" spans="1:3" x14ac:dyDescent="0.35">
      <c r="A5" s="2" t="s">
        <v>42</v>
      </c>
    </row>
    <row r="6" spans="1:3" x14ac:dyDescent="0.35">
      <c r="A6" t="s">
        <v>43</v>
      </c>
    </row>
    <row r="7" spans="1:3" x14ac:dyDescent="0.35">
      <c r="A7" t="str">
        <f>TRIM(A6)</f>
        <v>Kevin Cookie Company</v>
      </c>
    </row>
    <row r="9" spans="1:3" x14ac:dyDescent="0.35">
      <c r="A9" s="2" t="s">
        <v>44</v>
      </c>
    </row>
    <row r="10" spans="1:3" x14ac:dyDescent="0.35">
      <c r="A10" t="s">
        <v>45</v>
      </c>
      <c r="B10" t="s">
        <v>46</v>
      </c>
      <c r="C10" t="s">
        <v>47</v>
      </c>
    </row>
    <row r="11" spans="1:3" x14ac:dyDescent="0.35">
      <c r="A11" t="str">
        <f>_xlfn.CONCAT(A10," ",B10," ",C10)</f>
        <v>Kevin Cookie Company</v>
      </c>
      <c r="B11" t="str">
        <f>_xlfn.CONCAT(A10," ",B10)</f>
        <v>Kevin Cookie</v>
      </c>
    </row>
    <row r="13" spans="1:3" x14ac:dyDescent="0.35">
      <c r="A13" s="2" t="s">
        <v>48</v>
      </c>
    </row>
    <row r="14" spans="1:3" x14ac:dyDescent="0.35">
      <c r="A14" t="s">
        <v>45</v>
      </c>
      <c r="B14" t="s">
        <v>46</v>
      </c>
      <c r="C14" t="s">
        <v>47</v>
      </c>
    </row>
    <row r="15" spans="1:3" x14ac:dyDescent="0.35">
      <c r="A15" t="str">
        <f>(A14&amp; " " &amp;B14&amp;C14)</f>
        <v>Kevin CookieCompany</v>
      </c>
    </row>
    <row r="17" spans="1:3" x14ac:dyDescent="0.35">
      <c r="A17" s="2" t="s">
        <v>49</v>
      </c>
    </row>
    <row r="18" spans="1:3" x14ac:dyDescent="0.35">
      <c r="A18" t="s">
        <v>45</v>
      </c>
      <c r="B18" t="s">
        <v>46</v>
      </c>
      <c r="C18" t="s">
        <v>47</v>
      </c>
    </row>
    <row r="19" spans="1:3" x14ac:dyDescent="0.35">
      <c r="A19" t="str">
        <f>_xlfn.TEXTJOIN(" ",TRUE, A18:C18)</f>
        <v>Kevin Cookie Company</v>
      </c>
    </row>
    <row r="21" spans="1:3" x14ac:dyDescent="0.35">
      <c r="A21" s="2" t="s">
        <v>50</v>
      </c>
    </row>
    <row r="22" spans="1:3" x14ac:dyDescent="0.35">
      <c r="A22" t="s">
        <v>51</v>
      </c>
    </row>
    <row r="23" spans="1:3" x14ac:dyDescent="0.35">
      <c r="A23" t="str">
        <f>RIGHT(A22,5)</f>
        <v>05486</v>
      </c>
    </row>
    <row r="25" spans="1:3" x14ac:dyDescent="0.35">
      <c r="A25" s="2" t="s">
        <v>52</v>
      </c>
    </row>
    <row r="26" spans="1:3" x14ac:dyDescent="0.35">
      <c r="A26" t="s">
        <v>53</v>
      </c>
    </row>
    <row r="27" spans="1:3" x14ac:dyDescent="0.35">
      <c r="A27">
        <f>LEN(A26)</f>
        <v>20</v>
      </c>
    </row>
    <row r="29" spans="1:3" x14ac:dyDescent="0.35">
      <c r="A29" s="2" t="s">
        <v>54</v>
      </c>
    </row>
    <row r="30" spans="1:3" x14ac:dyDescent="0.35">
      <c r="A30" s="5" t="s">
        <v>55</v>
      </c>
    </row>
    <row r="31" spans="1:3" x14ac:dyDescent="0.35">
      <c r="A31">
        <f>FIND("@",A30)</f>
        <v>4</v>
      </c>
    </row>
    <row r="33" spans="1:1" x14ac:dyDescent="0.35">
      <c r="A33" s="2" t="s">
        <v>56</v>
      </c>
    </row>
    <row r="34" spans="1:1" x14ac:dyDescent="0.35">
      <c r="A34" t="str">
        <f>LEFT(A30,FIND("@",A30)-1)</f>
        <v>sue</v>
      </c>
    </row>
  </sheetData>
  <hyperlinks>
    <hyperlink ref="A30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2" zoomScale="145" zoomScaleNormal="145" workbookViewId="0">
      <selection activeCell="C25" sqref="C25"/>
    </sheetView>
  </sheetViews>
  <sheetFormatPr defaultRowHeight="14.5" x14ac:dyDescent="0.35"/>
  <cols>
    <col min="1" max="1" width="21.7265625" bestFit="1" customWidth="1"/>
    <col min="2" max="2" width="16.453125" customWidth="1"/>
  </cols>
  <sheetData>
    <row r="1" spans="1:3" x14ac:dyDescent="0.35">
      <c r="A1" s="2" t="s">
        <v>57</v>
      </c>
    </row>
    <row r="2" spans="1:3" x14ac:dyDescent="0.35">
      <c r="A2" t="s">
        <v>53</v>
      </c>
      <c r="B2" t="s">
        <v>58</v>
      </c>
      <c r="C2" t="b">
        <f>A2=B2</f>
        <v>0</v>
      </c>
    </row>
    <row r="3" spans="1:3" x14ac:dyDescent="0.35">
      <c r="A3">
        <v>10</v>
      </c>
      <c r="B3">
        <v>5</v>
      </c>
      <c r="C3" t="b">
        <f>A3=B3</f>
        <v>0</v>
      </c>
    </row>
    <row r="4" spans="1:3" x14ac:dyDescent="0.35">
      <c r="B4">
        <v>11</v>
      </c>
      <c r="C4" t="b">
        <f>A3&gt;B3</f>
        <v>1</v>
      </c>
    </row>
    <row r="5" spans="1:3" x14ac:dyDescent="0.35">
      <c r="C5" t="b">
        <f>A3&gt;=B3</f>
        <v>1</v>
      </c>
    </row>
    <row r="6" spans="1:3" x14ac:dyDescent="0.35">
      <c r="C6" t="b">
        <f>A3&lt;B3</f>
        <v>0</v>
      </c>
    </row>
    <row r="7" spans="1:3" x14ac:dyDescent="0.35">
      <c r="C7" t="b">
        <f>AND(A3&gt;B3,A3&gt;B4)</f>
        <v>0</v>
      </c>
    </row>
    <row r="8" spans="1:3" x14ac:dyDescent="0.35">
      <c r="A8" s="2"/>
    </row>
    <row r="9" spans="1:3" x14ac:dyDescent="0.35">
      <c r="A9" s="2" t="s">
        <v>13</v>
      </c>
      <c r="B9" s="2" t="s">
        <v>14</v>
      </c>
      <c r="C9" s="2" t="s">
        <v>59</v>
      </c>
    </row>
    <row r="10" spans="1:3" x14ac:dyDescent="0.35">
      <c r="A10" t="s">
        <v>0</v>
      </c>
      <c r="B10">
        <v>97</v>
      </c>
      <c r="C10" t="s">
        <v>60</v>
      </c>
    </row>
    <row r="11" spans="1:3" x14ac:dyDescent="0.35">
      <c r="A11" t="s">
        <v>1</v>
      </c>
      <c r="B11">
        <v>150</v>
      </c>
      <c r="C11" t="str">
        <f>IF(B10&gt;B11,A10, A11)</f>
        <v>Oatmeal Raisin</v>
      </c>
    </row>
    <row r="12" spans="1:3" x14ac:dyDescent="0.35">
      <c r="A12" t="s">
        <v>2</v>
      </c>
      <c r="B12">
        <v>150</v>
      </c>
    </row>
    <row r="13" spans="1:3" x14ac:dyDescent="0.35">
      <c r="C13" s="2" t="s">
        <v>61</v>
      </c>
    </row>
    <row r="14" spans="1:3" x14ac:dyDescent="0.35">
      <c r="C14" t="s">
        <v>62</v>
      </c>
    </row>
    <row r="15" spans="1:3" x14ac:dyDescent="0.35">
      <c r="C15" t="str">
        <f>IF(AND(B10&gt;B11,B10&gt;B12),"yes","no")</f>
        <v>no</v>
      </c>
    </row>
    <row r="17" spans="1:5" x14ac:dyDescent="0.35">
      <c r="C17" s="2" t="s">
        <v>63</v>
      </c>
    </row>
    <row r="18" spans="1:5" x14ac:dyDescent="0.35">
      <c r="C18" t="s">
        <v>64</v>
      </c>
    </row>
    <row r="19" spans="1:5" x14ac:dyDescent="0.35">
      <c r="C19" t="str">
        <f>IF(OR(B10&gt;B11,B10&gt;B12),"yes","no")</f>
        <v>no</v>
      </c>
    </row>
    <row r="21" spans="1:5" x14ac:dyDescent="0.35">
      <c r="A21" s="2" t="s">
        <v>65</v>
      </c>
      <c r="B21" s="2" t="s">
        <v>66</v>
      </c>
      <c r="C21" s="2" t="s">
        <v>67</v>
      </c>
    </row>
    <row r="22" spans="1:5" x14ac:dyDescent="0.35">
      <c r="A22" t="s">
        <v>0</v>
      </c>
      <c r="B22">
        <v>10</v>
      </c>
      <c r="C22" t="s">
        <v>68</v>
      </c>
      <c r="E22" s="2" t="s">
        <v>2</v>
      </c>
    </row>
    <row r="23" spans="1:5" x14ac:dyDescent="0.35">
      <c r="A23" t="s">
        <v>1</v>
      </c>
      <c r="B23">
        <v>8</v>
      </c>
      <c r="C23">
        <f>IF(E22=A22,B22, IF(E22=A23,B23, IF(E22=A24,B24, "unknown")))</f>
        <v>5</v>
      </c>
    </row>
    <row r="24" spans="1:5" x14ac:dyDescent="0.35">
      <c r="A24" t="s">
        <v>2</v>
      </c>
      <c r="B24">
        <v>5</v>
      </c>
      <c r="C24" cm="1">
        <f t="array" ref="C24">_xlfn.IFS(E22=A22,B22,E22=A23,B23,E22=A24,B24)</f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8"/>
  <sheetViews>
    <sheetView zoomScale="145" zoomScaleNormal="145" workbookViewId="0">
      <selection activeCell="E8" sqref="E8"/>
    </sheetView>
  </sheetViews>
  <sheetFormatPr defaultRowHeight="14.5" x14ac:dyDescent="0.35"/>
  <cols>
    <col min="1" max="1" width="14.453125" bestFit="1" customWidth="1"/>
    <col min="3" max="3" width="11.54296875" customWidth="1"/>
    <col min="4" max="4" width="3.54296875" customWidth="1"/>
    <col min="5" max="5" width="19" bestFit="1" customWidth="1"/>
  </cols>
  <sheetData>
    <row r="1" spans="1:6" x14ac:dyDescent="0.3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3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35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35">
      <c r="A4" t="s">
        <v>2</v>
      </c>
      <c r="B4">
        <v>5</v>
      </c>
      <c r="C4">
        <v>2</v>
      </c>
    </row>
    <row r="5" spans="1:6" x14ac:dyDescent="0.35">
      <c r="E5" s="2" t="s">
        <v>70</v>
      </c>
    </row>
    <row r="6" spans="1:6" x14ac:dyDescent="0.35">
      <c r="E6" t="s">
        <v>68</v>
      </c>
      <c r="F6" t="s">
        <v>0</v>
      </c>
    </row>
    <row r="7" spans="1:6" x14ac:dyDescent="0.35">
      <c r="E7">
        <f>_xlfn.XLOOKUP(F6,A:A,B:B)</f>
        <v>10</v>
      </c>
    </row>
    <row r="8" spans="1:6" x14ac:dyDescent="0.35">
      <c r="E8" cm="1">
        <f t="array" ref="E8:F8">_xlfn.XLOOKUP(F6,A:A,B:C)</f>
        <v>10</v>
      </c>
      <c r="F8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4.5" x14ac:dyDescent="0.35"/>
  <cols>
    <col min="1" max="1" width="15.453125" bestFit="1" customWidth="1"/>
  </cols>
  <sheetData>
    <row r="1" spans="1:1" x14ac:dyDescent="0.35">
      <c r="A1" s="2" t="s">
        <v>71</v>
      </c>
    </row>
    <row r="2" spans="1:1" x14ac:dyDescent="0.35">
      <c r="A2" s="6">
        <f ca="1">TODAY()</f>
        <v>46089</v>
      </c>
    </row>
    <row r="4" spans="1:1" x14ac:dyDescent="0.35">
      <c r="A4" s="2" t="s">
        <v>72</v>
      </c>
    </row>
    <row r="5" spans="1:1" x14ac:dyDescent="0.35">
      <c r="A5" s="7">
        <f ca="1">NOW()</f>
        <v>46089.97022974537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325" zoomScaleNormal="325" workbookViewId="0">
      <selection activeCell="C4" sqref="C4"/>
    </sheetView>
  </sheetViews>
  <sheetFormatPr defaultRowHeight="14.5" x14ac:dyDescent="0.35"/>
  <sheetData>
    <row r="1" spans="1:2" x14ac:dyDescent="0.35">
      <c r="A1" s="9">
        <f>5+4</f>
        <v>9</v>
      </c>
      <c r="B1">
        <v>1</v>
      </c>
    </row>
    <row r="2" spans="1:2" x14ac:dyDescent="0.35">
      <c r="A2" s="9">
        <f>8-2</f>
        <v>6</v>
      </c>
      <c r="B2">
        <v>3</v>
      </c>
    </row>
    <row r="3" spans="1:2" x14ac:dyDescent="0.35">
      <c r="A3" s="9">
        <f>A2+B2</f>
        <v>9</v>
      </c>
      <c r="B3" s="9">
        <f>4+2</f>
        <v>6</v>
      </c>
    </row>
    <row r="4" spans="1:2" x14ac:dyDescent="0.35">
      <c r="A4">
        <v>3</v>
      </c>
      <c r="B4" s="9">
        <f>B3+A3</f>
        <v>15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  <vt:lpstr>TaxRate.</vt:lpstr>
      <vt:lpstr>TaxRate...</vt:lpstr>
      <vt:lpstr>TaxRate2</vt:lpstr>
      <vt:lpstr>Taxrateee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helpdesk</cp:lastModifiedBy>
  <cp:revision/>
  <dcterms:created xsi:type="dcterms:W3CDTF">2022-05-10T22:30:35Z</dcterms:created>
  <dcterms:modified xsi:type="dcterms:W3CDTF">2026-03-08T22:21:42Z</dcterms:modified>
  <cp:category/>
  <cp:contentStatus/>
</cp:coreProperties>
</file>